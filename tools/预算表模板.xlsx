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支队预算按实际人数校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color rgb="00808080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6" customWidth="1" min="4" max="4"/>
    <col width="12" customWidth="1" min="5" max="5"/>
    <col width="9" customWidth="1" min="6" max="6"/>
    <col width="3" customWidth="1" min="7" max="7"/>
    <col width="13" customWidth="1" min="8" max="8"/>
    <col width="12" customWidth="1" min="9" max="9"/>
    <col width="9" customWidth="1" min="10" max="10"/>
    <col width="9" customWidth="1" min="11" max="11"/>
    <col width="14" customWidth="1" min="12" max="12"/>
    <col width="10" customWidth="1" min="13" max="13"/>
    <col width="18" customWidth="1" min="14" max="14"/>
    <col width="10" customWidth="1" min="15" max="15"/>
    <col width="12" customWidth="1" min="16" max="16"/>
    <col width="10" customWidth="1" min="17" max="17"/>
    <col width="11" customWidth="1" min="18" max="18"/>
    <col width="2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70" customWidth="1" min="30" max="30"/>
  </cols>
  <sheetData>
    <row r="1">
      <c r="A1" s="1" t="inlineStr">
        <is>
          <t>院系提供</t>
        </is>
      </c>
      <c r="I1" s="2" t="inlineStr">
        <is>
          <t>主要呈现列（公式，勿手改）</t>
        </is>
      </c>
      <c r="T1" s="3" t="inlineStr">
        <is>
          <t>计算辅助列</t>
        </is>
      </c>
    </row>
    <row r="2">
      <c r="A2" s="4" t="inlineStr">
        <is>
          <t>序号</t>
        </is>
      </c>
      <c r="B2" s="4" t="inlineStr">
        <is>
          <t>实践地点</t>
        </is>
      </c>
      <c r="C2" s="4" t="inlineStr">
        <is>
          <t>拟主要参访点位</t>
        </is>
      </c>
      <c r="D2" s="4" t="inlineStr">
        <is>
          <t>承办单位</t>
        </is>
      </c>
      <c r="E2" s="4" t="inlineStr">
        <is>
          <t>拟参访日期</t>
        </is>
      </c>
      <c r="F2" s="4" t="inlineStr">
        <is>
          <t>支队人数</t>
        </is>
      </c>
      <c r="H2" s="4" t="inlineStr">
        <is>
          <t>院系已有支持金额</t>
        </is>
      </c>
      <c r="I2" s="4" t="inlineStr">
        <is>
          <t>实践地点</t>
        </is>
      </c>
      <c r="J2" s="4" t="inlineStr">
        <is>
          <t>拟参访天数</t>
        </is>
      </c>
      <c r="K2" s="4" t="inlineStr">
        <is>
          <t>支队人数</t>
        </is>
      </c>
      <c r="L2" s="4" t="inlineStr">
        <is>
          <t>往返交通费</t>
        </is>
      </c>
      <c r="N2" s="4" t="inlineStr">
        <is>
          <t>住宿</t>
        </is>
      </c>
      <c r="P2" s="4" t="inlineStr">
        <is>
          <t>保险</t>
        </is>
      </c>
      <c r="R2" s="4" t="inlineStr">
        <is>
          <t>总计</t>
        </is>
      </c>
      <c r="T2" s="4" t="inlineStr">
        <is>
          <t>单人交通费</t>
        </is>
      </c>
      <c r="U2" s="4" t="inlineStr">
        <is>
          <t>交通费总和</t>
        </is>
      </c>
      <c r="V2" s="4" t="inlineStr">
        <is>
          <t>住宿费标间</t>
        </is>
      </c>
      <c r="W2" s="4" t="inlineStr">
        <is>
          <t>房间数</t>
        </is>
      </c>
      <c r="X2" s="4" t="inlineStr">
        <is>
          <t>住宿天数</t>
        </is>
      </c>
      <c r="Y2" s="4" t="inlineStr">
        <is>
          <t>住宿费用总和</t>
        </is>
      </c>
      <c r="Z2" s="4" t="inlineStr">
        <is>
          <t>保险费每人</t>
        </is>
      </c>
      <c r="AA2" s="4" t="inlineStr">
        <is>
          <t>保险费总额</t>
        </is>
      </c>
      <c r="AB2" s="4" t="inlineStr">
        <is>
          <t>队伍总额</t>
        </is>
      </c>
      <c r="AD2" s="4" t="inlineStr">
        <is>
          <t>交通费取价依据</t>
        </is>
      </c>
    </row>
    <row r="3">
      <c r="A3" s="5" t="inlineStr">
        <is>
          <t>填写说明</t>
        </is>
      </c>
      <c r="C3" s="5" t="inlineStr">
        <is>
          <t>1.国防军工点位在前（填写企业全称），按照一天至少2个企业申报
2.根据实践部反馈意见修改的，需确保符合意见</t>
        </is>
      </c>
      <c r="D3" s="5" t="inlineStr">
        <is>
          <t>承办学院（就协组织填“就协”）</t>
        </is>
      </c>
      <c r="E3" s="5" t="inlineStr">
        <is>
          <t>（格式：7.19-7.23）</t>
        </is>
      </c>
      <c r="F3" s="5" t="inlineStr">
        <is>
          <t>默认12，可按实际调整</t>
        </is>
      </c>
      <c r="H3" s="5" t="inlineStr">
        <is>
          <t>如院系支持1/3，此处等于总计*1/3</t>
        </is>
      </c>
      <c r="L3" s="5" t="inlineStr">
        <is>
          <t>可在计算辅助列填写后直接套用下方单元格公式</t>
        </is>
      </c>
      <c r="T3" s="5" t="inlineStr">
        <is>
          <t>北京-实践地各段高铁二等座最高价之和（多城市逐段相加）</t>
        </is>
      </c>
      <c r="V3" s="5" t="inlineStr">
        <is>
          <t>每人每天住宿报销上限150（标间300/2人）</t>
        </is>
      </c>
      <c r="Z3" s="5" t="inlineStr">
        <is>
          <t>保险费每人每周不超过30元（≤7天即30元/人）</t>
        </is>
      </c>
      <c r="AD3" s="5" t="inlineStr">
        <is>
          <t>逐段：票价[12306实时·车次·查询日期]；缓存价标注来源</t>
        </is>
      </c>
    </row>
    <row r="4">
      <c r="A4" s="6" t="inlineStr">
        <is>
          <t>例如</t>
        </is>
      </c>
      <c r="B4" s="6" t="inlineStr">
        <is>
          <t>重庆</t>
        </is>
      </c>
      <c r="C4" s="6" t="inlineStr">
        <is>
          <t>重庆长安汽车、中冶赛迪、重庆市华翌智能装备有限公司、中电科芯片技术公司、中冶赛迪工程技术股份有限公司</t>
        </is>
      </c>
      <c r="D4" s="6" t="inlineStr">
        <is>
          <t>工物系</t>
        </is>
      </c>
      <c r="E4" s="6" t="inlineStr">
        <is>
          <t>12.9-12.13</t>
        </is>
      </c>
      <c r="F4" s="6" t="n">
        <v>10</v>
      </c>
      <c r="I4" s="6">
        <f>B4</f>
        <v/>
      </c>
      <c r="J4" s="6">
        <f>IFERROR(DATE(YEAR(TODAY()),MID(E4,FIND("-",E4)+1,FIND(".",E4,FIND("-",E4))-FIND("-",E4)-1),RIGHT(E4,LEN(E4)-FIND(".",E4,FIND("-",E4))))-DATE(YEAR(TODAY()),LEFT(E4,FIND(".",E4)-1),MID(E4,FIND(".",E4)+1,FIND("-",E4)-FIND(".",E4)-1))+1,"待填")</f>
        <v/>
      </c>
      <c r="K4" s="6">
        <f>F4</f>
        <v/>
      </c>
      <c r="L4" s="6">
        <f>T4&amp;"/人"&amp;"x"&amp;TEXT(AC4,"# ?/?")</f>
        <v/>
      </c>
      <c r="M4" s="6">
        <f>U4</f>
        <v/>
      </c>
      <c r="N4" s="6">
        <f>V4/2&amp;"/人·天*"&amp;TRIM(TEXT(AC4,"# ?/?"))&amp;"*"&amp;X4&amp;"晚"</f>
        <v/>
      </c>
      <c r="O4" s="6">
        <f>Y4</f>
        <v/>
      </c>
      <c r="P4" s="6">
        <f>Z4&amp;"/人·周*"&amp;CEILING(J4/7,1)&amp;"周"&amp;"x"&amp;TEXT(AC4,"# ?/?")</f>
        <v/>
      </c>
      <c r="Q4" s="6">
        <f>AA4</f>
        <v/>
      </c>
      <c r="R4" s="6">
        <f>AB4</f>
        <v/>
      </c>
      <c r="S4" s="6">
        <f>IF(OR(ISNUMBER(SEARCH("就协",D4)),ISNUMBER(SEARCH("就业协会",D4))),"就协全部","院系"&amp;TEXT(1-AC4,"# ?/?")&amp;"，剩余就协")</f>
        <v/>
      </c>
      <c r="T4" s="6" t="n">
        <v>1922</v>
      </c>
      <c r="U4" s="6">
        <f>K4*T4*AC4</f>
        <v/>
      </c>
      <c r="V4" s="6" t="n">
        <v>300</v>
      </c>
      <c r="W4" s="6">
        <f>CEILING(K4/2,1)</f>
        <v/>
      </c>
      <c r="X4" s="6">
        <f>IF(ISNUMBER(J4),J4-1,"")</f>
        <v/>
      </c>
      <c r="Y4" s="6">
        <f>V4*W4*X4*AC4</f>
        <v/>
      </c>
      <c r="Z4" s="6" t="n">
        <v>30</v>
      </c>
      <c r="AA4" s="6">
        <f>Z4*K4*CEILING(J4/7,1)*AC4</f>
        <v/>
      </c>
      <c r="AB4" s="6">
        <f>U4+Y4+AA4</f>
        <v/>
      </c>
      <c r="AC4" s="6">
        <f>IF(OR(ISNUMBER(SEARCH("就协",D4)),ISNUMBER(SEARCH("就业协会",D4))),1,2/3)</f>
        <v/>
      </c>
      <c r="AD4" s="6" t="inlineStr">
        <is>
          <t>北京→重庆 961元[12306实时·G387·2026-10-22查]；重庆→北京 961元[12306实时·G51·2026-10-22查]</t>
        </is>
      </c>
    </row>
    <row r="6">
      <c r="A6" s="7" t="inlineStr">
        <is>
          <t>序号</t>
        </is>
      </c>
      <c r="B6" s="7" t="inlineStr">
        <is>
          <t>实践地点</t>
        </is>
      </c>
      <c r="C6" s="7" t="inlineStr">
        <is>
          <t>拟主要参访点位</t>
        </is>
      </c>
      <c r="D6" s="7" t="inlineStr">
        <is>
          <t>承办院系</t>
        </is>
      </c>
      <c r="E6" s="7" t="inlineStr">
        <is>
          <t>参访日期</t>
        </is>
      </c>
      <c r="F6" s="7" t="inlineStr">
        <is>
          <t>支队人数</t>
        </is>
      </c>
      <c r="G6" s="7" t="n"/>
      <c r="H6" s="7" t="inlineStr">
        <is>
          <t>院系已有支持金额</t>
        </is>
      </c>
      <c r="I6" s="8" t="inlineStr">
        <is>
          <t>实践地点</t>
        </is>
      </c>
      <c r="J6" s="8" t="inlineStr">
        <is>
          <t>参访天数</t>
        </is>
      </c>
      <c r="K6" s="8" t="inlineStr">
        <is>
          <t>支队人数</t>
        </is>
      </c>
      <c r="L6" s="8" t="inlineStr">
        <is>
          <t>往返交通费</t>
        </is>
      </c>
      <c r="M6" s="8" t="inlineStr">
        <is>
          <t>合计</t>
        </is>
      </c>
      <c r="N6" s="8" t="inlineStr">
        <is>
          <t>住宿</t>
        </is>
      </c>
      <c r="O6" s="8" t="inlineStr">
        <is>
          <t>合计</t>
        </is>
      </c>
      <c r="P6" s="8" t="inlineStr">
        <is>
          <t>保险</t>
        </is>
      </c>
      <c r="Q6" s="8" t="inlineStr">
        <is>
          <t>合计</t>
        </is>
      </c>
      <c r="R6" s="8" t="inlineStr">
        <is>
          <t>总计</t>
        </is>
      </c>
      <c r="S6" s="8" t="inlineStr">
        <is>
          <t>备注</t>
        </is>
      </c>
      <c r="T6" s="9" t="inlineStr">
        <is>
          <t>单人交通费</t>
        </is>
      </c>
      <c r="U6" s="9" t="inlineStr">
        <is>
          <t>交通费总和</t>
        </is>
      </c>
      <c r="V6" s="9" t="inlineStr">
        <is>
          <t>住宿费标间</t>
        </is>
      </c>
      <c r="W6" s="9" t="inlineStr">
        <is>
          <t>房间数</t>
        </is>
      </c>
      <c r="X6" s="9" t="inlineStr">
        <is>
          <t>住宿天数</t>
        </is>
      </c>
      <c r="Y6" s="9" t="inlineStr">
        <is>
          <t>住宿费用总和</t>
        </is>
      </c>
      <c r="Z6" s="9" t="inlineStr">
        <is>
          <t>保险费每人</t>
        </is>
      </c>
      <c r="AA6" s="9" t="inlineStr">
        <is>
          <t>保险费总额</t>
        </is>
      </c>
      <c r="AB6" s="9" t="inlineStr">
        <is>
          <t>队伍总额</t>
        </is>
      </c>
      <c r="AC6" s="9" t="inlineStr">
        <is>
          <t>报销比例</t>
        </is>
      </c>
      <c r="AD6" s="9" t="inlineStr">
        <is>
          <t>交通费取价依据</t>
        </is>
      </c>
    </row>
    <row r="7">
      <c r="A7" s="10" t="n"/>
      <c r="B7" s="10" t="n"/>
      <c r="C7" s="11" t="n"/>
      <c r="D7" s="10" t="n"/>
      <c r="E7" s="10" t="n"/>
      <c r="F7" s="10" t="n"/>
      <c r="G7" s="10" t="n"/>
      <c r="H7" s="10" t="n"/>
      <c r="I7" s="12">
        <f>IF($B7="","",B7)</f>
        <v/>
      </c>
      <c r="J7" s="12">
        <f>IF($B7="","",IFERROR(DATE(YEAR(TODAY()),MID(E7,FIND("-",E7)+1,FIND(".",E7,FIND("-",E7))-FIND("-",E7)-1),RIGHT(E7,LEN(E7)-FIND(".",E7,FIND("-",E7))))-DATE(YEAR(TODAY()),LEFT(E7,FIND(".",E7)-1),MID(E7,FIND(".",E7)+1,FIND("-",E7)-FIND(".",E7)-1))+1,"待填"))</f>
        <v/>
      </c>
      <c r="K7" s="12">
        <f>IF($B7="","",F7)</f>
        <v/>
      </c>
      <c r="L7" s="12">
        <f>IF($B7="","",T7&amp;"/人"&amp;"x"&amp;TEXT(AC7,"# ?/?"))</f>
        <v/>
      </c>
      <c r="M7" s="12">
        <f>IF($B7="","",U7)</f>
        <v/>
      </c>
      <c r="N7" s="12">
        <f>IF($B7="","",V7/2&amp;"/人·天*"&amp;TRIM(TEXT(AC7,"# ?/?"))&amp;"*"&amp;X7&amp;"晚")</f>
        <v/>
      </c>
      <c r="O7" s="12">
        <f>IF($B7="","",Y7)</f>
        <v/>
      </c>
      <c r="P7" s="12">
        <f>IF($B7="","",Z7&amp;"/人·周*"&amp;CEILING(J7/7,1)&amp;"周"&amp;"x"&amp;TEXT(AC7,"# ?/?"))</f>
        <v/>
      </c>
      <c r="Q7" s="12">
        <f>IF($B7="","",AA7)</f>
        <v/>
      </c>
      <c r="R7" s="12">
        <f>IF($B7="","",AB7)</f>
        <v/>
      </c>
      <c r="S7" s="13">
        <f>IF($B7="","",IF(OR(ISNUMBER(SEARCH("就协",D7)),ISNUMBER(SEARCH("就业协会",D7))),"就协全部","院系"&amp;TEXT(1-AC7,"# ?/?")&amp;"，剩余就协"))</f>
        <v/>
      </c>
      <c r="T7" s="14" t="n"/>
      <c r="U7" s="12">
        <f>IF($B7="","",K7*T7*AC7)</f>
        <v/>
      </c>
      <c r="V7" s="12" t="n">
        <v>300</v>
      </c>
      <c r="W7" s="12">
        <f>IF($B7="","",CEILING(K7/2,1))</f>
        <v/>
      </c>
      <c r="X7" s="12">
        <f>IF($B7="","",IF(ISNUMBER(J7),J7-1,""))</f>
        <v/>
      </c>
      <c r="Y7" s="12">
        <f>IF($B7="","",V7*W7*X7*AC7)</f>
        <v/>
      </c>
      <c r="Z7" s="12" t="n">
        <v>30</v>
      </c>
      <c r="AA7" s="12">
        <f>IF($B7="","",Z7*K7*CEILING(J7/7,1)*AC7)</f>
        <v/>
      </c>
      <c r="AB7" s="12">
        <f>IF($B7="","",U7+Y7+AA7)</f>
        <v/>
      </c>
      <c r="AC7" s="12">
        <f>IF($B7="","",IF(OR(ISNUMBER(SEARCH("就协",D7)),ISNUMBER(SEARCH("就业协会",D7))),1,2/3))</f>
        <v/>
      </c>
      <c r="AD7" s="13" t="n"/>
    </row>
    <row r="8">
      <c r="A8" s="10" t="n"/>
      <c r="B8" s="10" t="n"/>
      <c r="C8" s="11" t="n"/>
      <c r="D8" s="10" t="n"/>
      <c r="E8" s="10" t="n"/>
      <c r="F8" s="10" t="n"/>
      <c r="G8" s="10" t="n"/>
      <c r="H8" s="10" t="n"/>
      <c r="I8" s="12">
        <f>IF($B8="","",B8)</f>
        <v/>
      </c>
      <c r="J8" s="12">
        <f>IF($B8="","",IFERROR(DATE(YEAR(TODAY()),MID(E8,FIND("-",E8)+1,FIND(".",E8,FIND("-",E8))-FIND("-",E8)-1),RIGHT(E8,LEN(E8)-FIND(".",E8,FIND("-",E8))))-DATE(YEAR(TODAY()),LEFT(E8,FIND(".",E8)-1),MID(E8,FIND(".",E8)+1,FIND("-",E8)-FIND(".",E8)-1))+1,"待填"))</f>
        <v/>
      </c>
      <c r="K8" s="12">
        <f>IF($B8="","",F8)</f>
        <v/>
      </c>
      <c r="L8" s="12">
        <f>IF($B8="","",T8&amp;"/人"&amp;"x"&amp;TEXT(AC8,"# ?/?"))</f>
        <v/>
      </c>
      <c r="M8" s="12">
        <f>IF($B8="","",U8)</f>
        <v/>
      </c>
      <c r="N8" s="12">
        <f>IF($B8="","",V8/2&amp;"/人·天*"&amp;TRIM(TEXT(AC8,"# ?/?"))&amp;"*"&amp;X8&amp;"晚")</f>
        <v/>
      </c>
      <c r="O8" s="12">
        <f>IF($B8="","",Y8)</f>
        <v/>
      </c>
      <c r="P8" s="12">
        <f>IF($B8="","",Z8&amp;"/人·周*"&amp;CEILING(J8/7,1)&amp;"周"&amp;"x"&amp;TEXT(AC8,"# ?/?"))</f>
        <v/>
      </c>
      <c r="Q8" s="12">
        <f>IF($B8="","",AA8)</f>
        <v/>
      </c>
      <c r="R8" s="12">
        <f>IF($B8="","",AB8)</f>
        <v/>
      </c>
      <c r="S8" s="13">
        <f>IF($B8="","",IF(OR(ISNUMBER(SEARCH("就协",D8)),ISNUMBER(SEARCH("就业协会",D8))),"就协全部","院系"&amp;TEXT(1-AC8,"# ?/?")&amp;"，剩余就协"))</f>
        <v/>
      </c>
      <c r="T8" s="14" t="n"/>
      <c r="U8" s="12">
        <f>IF($B8="","",K8*T8*AC8)</f>
        <v/>
      </c>
      <c r="V8" s="12" t="n">
        <v>300</v>
      </c>
      <c r="W8" s="12">
        <f>IF($B8="","",CEILING(K8/2,1))</f>
        <v/>
      </c>
      <c r="X8" s="12">
        <f>IF($B8="","",IF(ISNUMBER(J8),J8-1,""))</f>
        <v/>
      </c>
      <c r="Y8" s="12">
        <f>IF($B8="","",V8*W8*X8*AC8)</f>
        <v/>
      </c>
      <c r="Z8" s="12" t="n">
        <v>30</v>
      </c>
      <c r="AA8" s="12">
        <f>IF($B8="","",Z8*K8*CEILING(J8/7,1)*AC8)</f>
        <v/>
      </c>
      <c r="AB8" s="12">
        <f>IF($B8="","",U8+Y8+AA8)</f>
        <v/>
      </c>
      <c r="AC8" s="12">
        <f>IF($B8="","",IF(OR(ISNUMBER(SEARCH("就协",D8)),ISNUMBER(SEARCH("就业协会",D8))),1,2/3))</f>
        <v/>
      </c>
      <c r="AD8" s="13" t="n"/>
    </row>
    <row r="9">
      <c r="A9" s="10" t="n"/>
      <c r="B9" s="10" t="n"/>
      <c r="C9" s="11" t="n"/>
      <c r="D9" s="10" t="n"/>
      <c r="E9" s="10" t="n"/>
      <c r="F9" s="10" t="n"/>
      <c r="G9" s="10" t="n"/>
      <c r="H9" s="10" t="n"/>
      <c r="I9" s="12">
        <f>IF($B9="","",B9)</f>
        <v/>
      </c>
      <c r="J9" s="12">
        <f>IF($B9="","",IFERROR(DATE(YEAR(TODAY()),MID(E9,FIND("-",E9)+1,FIND(".",E9,FIND("-",E9))-FIND("-",E9)-1),RIGHT(E9,LEN(E9)-FIND(".",E9,FIND("-",E9))))-DATE(YEAR(TODAY()),LEFT(E9,FIND(".",E9)-1),MID(E9,FIND(".",E9)+1,FIND("-",E9)-FIND(".",E9)-1))+1,"待填"))</f>
        <v/>
      </c>
      <c r="K9" s="12">
        <f>IF($B9="","",F9)</f>
        <v/>
      </c>
      <c r="L9" s="12">
        <f>IF($B9="","",T9&amp;"/人"&amp;"x"&amp;TEXT(AC9,"# ?/?"))</f>
        <v/>
      </c>
      <c r="M9" s="12">
        <f>IF($B9="","",U9)</f>
        <v/>
      </c>
      <c r="N9" s="12">
        <f>IF($B9="","",V9/2&amp;"/人·天*"&amp;TRIM(TEXT(AC9,"# ?/?"))&amp;"*"&amp;X9&amp;"晚")</f>
        <v/>
      </c>
      <c r="O9" s="12">
        <f>IF($B9="","",Y9)</f>
        <v/>
      </c>
      <c r="P9" s="12">
        <f>IF($B9="","",Z9&amp;"/人·周*"&amp;CEILING(J9/7,1)&amp;"周"&amp;"x"&amp;TEXT(AC9,"# ?/?"))</f>
        <v/>
      </c>
      <c r="Q9" s="12">
        <f>IF($B9="","",AA9)</f>
        <v/>
      </c>
      <c r="R9" s="12">
        <f>IF($B9="","",AB9)</f>
        <v/>
      </c>
      <c r="S9" s="13">
        <f>IF($B9="","",IF(OR(ISNUMBER(SEARCH("就协",D9)),ISNUMBER(SEARCH("就业协会",D9))),"就协全部","院系"&amp;TEXT(1-AC9,"# ?/?")&amp;"，剩余就协"))</f>
        <v/>
      </c>
      <c r="T9" s="14" t="n"/>
      <c r="U9" s="12">
        <f>IF($B9="","",K9*T9*AC9)</f>
        <v/>
      </c>
      <c r="V9" s="12" t="n">
        <v>300</v>
      </c>
      <c r="W9" s="12">
        <f>IF($B9="","",CEILING(K9/2,1))</f>
        <v/>
      </c>
      <c r="X9" s="12">
        <f>IF($B9="","",IF(ISNUMBER(J9),J9-1,""))</f>
        <v/>
      </c>
      <c r="Y9" s="12">
        <f>IF($B9="","",V9*W9*X9*AC9)</f>
        <v/>
      </c>
      <c r="Z9" s="12" t="n">
        <v>30</v>
      </c>
      <c r="AA9" s="12">
        <f>IF($B9="","",Z9*K9*CEILING(J9/7,1)*AC9)</f>
        <v/>
      </c>
      <c r="AB9" s="12">
        <f>IF($B9="","",U9+Y9+AA9)</f>
        <v/>
      </c>
      <c r="AC9" s="12">
        <f>IF($B9="","",IF(OR(ISNUMBER(SEARCH("就协",D9)),ISNUMBER(SEARCH("就业协会",D9))),1,2/3))</f>
        <v/>
      </c>
      <c r="AD9" s="13" t="n"/>
    </row>
    <row r="10">
      <c r="A10" s="10" t="n"/>
      <c r="B10" s="10" t="n"/>
      <c r="C10" s="11" t="n"/>
      <c r="D10" s="10" t="n"/>
      <c r="E10" s="10" t="n"/>
      <c r="F10" s="10" t="n"/>
      <c r="G10" s="10" t="n"/>
      <c r="H10" s="10" t="n"/>
      <c r="I10" s="12">
        <f>IF($B10="","",B10)</f>
        <v/>
      </c>
      <c r="J10" s="12">
        <f>IF($B10="","",IFERROR(DATE(YEAR(TODAY()),MID(E10,FIND("-",E10)+1,FIND(".",E10,FIND("-",E10))-FIND("-",E10)-1),RIGHT(E10,LEN(E10)-FIND(".",E10,FIND("-",E10))))-DATE(YEAR(TODAY()),LEFT(E10,FIND(".",E10)-1),MID(E10,FIND(".",E10)+1,FIND("-",E10)-FIND(".",E10)-1))+1,"待填"))</f>
        <v/>
      </c>
      <c r="K10" s="12">
        <f>IF($B10="","",F10)</f>
        <v/>
      </c>
      <c r="L10" s="12">
        <f>IF($B10="","",T10&amp;"/人"&amp;"x"&amp;TEXT(AC10,"# ?/?"))</f>
        <v/>
      </c>
      <c r="M10" s="12">
        <f>IF($B10="","",U10)</f>
        <v/>
      </c>
      <c r="N10" s="12">
        <f>IF($B10="","",V10/2&amp;"/人·天*"&amp;TRIM(TEXT(AC10,"# ?/?"))&amp;"*"&amp;X10&amp;"晚")</f>
        <v/>
      </c>
      <c r="O10" s="12">
        <f>IF($B10="","",Y10)</f>
        <v/>
      </c>
      <c r="P10" s="12">
        <f>IF($B10="","",Z10&amp;"/人·周*"&amp;CEILING(J10/7,1)&amp;"周"&amp;"x"&amp;TEXT(AC10,"# ?/?"))</f>
        <v/>
      </c>
      <c r="Q10" s="12">
        <f>IF($B10="","",AA10)</f>
        <v/>
      </c>
      <c r="R10" s="12">
        <f>IF($B10="","",AB10)</f>
        <v/>
      </c>
      <c r="S10" s="13">
        <f>IF($B10="","",IF(OR(ISNUMBER(SEARCH("就协",D10)),ISNUMBER(SEARCH("就业协会",D10))),"就协全部","院系"&amp;TEXT(1-AC10,"# ?/?")&amp;"，剩余就协"))</f>
        <v/>
      </c>
      <c r="T10" s="14" t="n"/>
      <c r="U10" s="12">
        <f>IF($B10="","",K10*T10*AC10)</f>
        <v/>
      </c>
      <c r="V10" s="12" t="n">
        <v>300</v>
      </c>
      <c r="W10" s="12">
        <f>IF($B10="","",CEILING(K10/2,1))</f>
        <v/>
      </c>
      <c r="X10" s="12">
        <f>IF($B10="","",IF(ISNUMBER(J10),J10-1,""))</f>
        <v/>
      </c>
      <c r="Y10" s="12">
        <f>IF($B10="","",V10*W10*X10*AC10)</f>
        <v/>
      </c>
      <c r="Z10" s="12" t="n">
        <v>30</v>
      </c>
      <c r="AA10" s="12">
        <f>IF($B10="","",Z10*K10*CEILING(J10/7,1)*AC10)</f>
        <v/>
      </c>
      <c r="AB10" s="12">
        <f>IF($B10="","",U10+Y10+AA10)</f>
        <v/>
      </c>
      <c r="AC10" s="12">
        <f>IF($B10="","",IF(OR(ISNUMBER(SEARCH("就协",D10)),ISNUMBER(SEARCH("就业协会",D10))),1,2/3))</f>
        <v/>
      </c>
      <c r="AD10" s="13" t="n"/>
    </row>
    <row r="11">
      <c r="A11" s="10" t="n"/>
      <c r="B11" s="10" t="n"/>
      <c r="C11" s="11" t="n"/>
      <c r="D11" s="10" t="n"/>
      <c r="E11" s="10" t="n"/>
      <c r="F11" s="10" t="n"/>
      <c r="G11" s="10" t="n"/>
      <c r="H11" s="10" t="n"/>
      <c r="I11" s="12">
        <f>IF($B11="","",B11)</f>
        <v/>
      </c>
      <c r="J11" s="12">
        <f>IF($B11="","",IFERROR(DATE(YEAR(TODAY()),MID(E11,FIND("-",E11)+1,FIND(".",E11,FIND("-",E11))-FIND("-",E11)-1),RIGHT(E11,LEN(E11)-FIND(".",E11,FIND("-",E11))))-DATE(YEAR(TODAY()),LEFT(E11,FIND(".",E11)-1),MID(E11,FIND(".",E11)+1,FIND("-",E11)-FIND(".",E11)-1))+1,"待填"))</f>
        <v/>
      </c>
      <c r="K11" s="12">
        <f>IF($B11="","",F11)</f>
        <v/>
      </c>
      <c r="L11" s="12">
        <f>IF($B11="","",T11&amp;"/人"&amp;"x"&amp;TEXT(AC11,"# ?/?"))</f>
        <v/>
      </c>
      <c r="M11" s="12">
        <f>IF($B11="","",U11)</f>
        <v/>
      </c>
      <c r="N11" s="12">
        <f>IF($B11="","",V11/2&amp;"/人·天*"&amp;TRIM(TEXT(AC11,"# ?/?"))&amp;"*"&amp;X11&amp;"晚")</f>
        <v/>
      </c>
      <c r="O11" s="12">
        <f>IF($B11="","",Y11)</f>
        <v/>
      </c>
      <c r="P11" s="12">
        <f>IF($B11="","",Z11&amp;"/人·周*"&amp;CEILING(J11/7,1)&amp;"周"&amp;"x"&amp;TEXT(AC11,"# ?/?"))</f>
        <v/>
      </c>
      <c r="Q11" s="12">
        <f>IF($B11="","",AA11)</f>
        <v/>
      </c>
      <c r="R11" s="12">
        <f>IF($B11="","",AB11)</f>
        <v/>
      </c>
      <c r="S11" s="13">
        <f>IF($B11="","",IF(OR(ISNUMBER(SEARCH("就协",D11)),ISNUMBER(SEARCH("就业协会",D11))),"就协全部","院系"&amp;TEXT(1-AC11,"# ?/?")&amp;"，剩余就协"))</f>
        <v/>
      </c>
      <c r="T11" s="14" t="n"/>
      <c r="U11" s="12">
        <f>IF($B11="","",K11*T11*AC11)</f>
        <v/>
      </c>
      <c r="V11" s="12" t="n">
        <v>300</v>
      </c>
      <c r="W11" s="12">
        <f>IF($B11="","",CEILING(K11/2,1))</f>
        <v/>
      </c>
      <c r="X11" s="12">
        <f>IF($B11="","",IF(ISNUMBER(J11),J11-1,""))</f>
        <v/>
      </c>
      <c r="Y11" s="12">
        <f>IF($B11="","",V11*W11*X11*AC11)</f>
        <v/>
      </c>
      <c r="Z11" s="12" t="n">
        <v>30</v>
      </c>
      <c r="AA11" s="12">
        <f>IF($B11="","",Z11*K11*CEILING(J11/7,1)*AC11)</f>
        <v/>
      </c>
      <c r="AB11" s="12">
        <f>IF($B11="","",U11+Y11+AA11)</f>
        <v/>
      </c>
      <c r="AC11" s="12">
        <f>IF($B11="","",IF(OR(ISNUMBER(SEARCH("就协",D11)),ISNUMBER(SEARCH("就业协会",D11))),1,2/3))</f>
        <v/>
      </c>
      <c r="AD11" s="13" t="n"/>
    </row>
    <row r="12">
      <c r="A12" s="10" t="n"/>
      <c r="B12" s="10" t="n"/>
      <c r="C12" s="11" t="n"/>
      <c r="D12" s="10" t="n"/>
      <c r="E12" s="10" t="n"/>
      <c r="F12" s="10" t="n"/>
      <c r="G12" s="10" t="n"/>
      <c r="H12" s="10" t="n"/>
      <c r="I12" s="12">
        <f>IF($B12="","",B12)</f>
        <v/>
      </c>
      <c r="J12" s="12">
        <f>IF($B12="","",IFERROR(DATE(YEAR(TODAY()),MID(E12,FIND("-",E12)+1,FIND(".",E12,FIND("-",E12))-FIND("-",E12)-1),RIGHT(E12,LEN(E12)-FIND(".",E12,FIND("-",E12))))-DATE(YEAR(TODAY()),LEFT(E12,FIND(".",E12)-1),MID(E12,FIND(".",E12)+1,FIND("-",E12)-FIND(".",E12)-1))+1,"待填"))</f>
        <v/>
      </c>
      <c r="K12" s="12">
        <f>IF($B12="","",F12)</f>
        <v/>
      </c>
      <c r="L12" s="12">
        <f>IF($B12="","",T12&amp;"/人"&amp;"x"&amp;TEXT(AC12,"# ?/?"))</f>
        <v/>
      </c>
      <c r="M12" s="12">
        <f>IF($B12="","",U12)</f>
        <v/>
      </c>
      <c r="N12" s="12">
        <f>IF($B12="","",V12/2&amp;"/人·天*"&amp;TRIM(TEXT(AC12,"# ?/?"))&amp;"*"&amp;X12&amp;"晚")</f>
        <v/>
      </c>
      <c r="O12" s="12">
        <f>IF($B12="","",Y12)</f>
        <v/>
      </c>
      <c r="P12" s="12">
        <f>IF($B12="","",Z12&amp;"/人·周*"&amp;CEILING(J12/7,1)&amp;"周"&amp;"x"&amp;TEXT(AC12,"# ?/?"))</f>
        <v/>
      </c>
      <c r="Q12" s="12">
        <f>IF($B12="","",AA12)</f>
        <v/>
      </c>
      <c r="R12" s="12">
        <f>IF($B12="","",AB12)</f>
        <v/>
      </c>
      <c r="S12" s="13">
        <f>IF($B12="","",IF(OR(ISNUMBER(SEARCH("就协",D12)),ISNUMBER(SEARCH("就业协会",D12))),"就协全部","院系"&amp;TEXT(1-AC12,"# ?/?")&amp;"，剩余就协"))</f>
        <v/>
      </c>
      <c r="T12" s="14" t="n"/>
      <c r="U12" s="12">
        <f>IF($B12="","",K12*T12*AC12)</f>
        <v/>
      </c>
      <c r="V12" s="12" t="n">
        <v>300</v>
      </c>
      <c r="W12" s="12">
        <f>IF($B12="","",CEILING(K12/2,1))</f>
        <v/>
      </c>
      <c r="X12" s="12">
        <f>IF($B12="","",IF(ISNUMBER(J12),J12-1,""))</f>
        <v/>
      </c>
      <c r="Y12" s="12">
        <f>IF($B12="","",V12*W12*X12*AC12)</f>
        <v/>
      </c>
      <c r="Z12" s="12" t="n">
        <v>30</v>
      </c>
      <c r="AA12" s="12">
        <f>IF($B12="","",Z12*K12*CEILING(J12/7,1)*AC12)</f>
        <v/>
      </c>
      <c r="AB12" s="12">
        <f>IF($B12="","",U12+Y12+AA12)</f>
        <v/>
      </c>
      <c r="AC12" s="12">
        <f>IF($B12="","",IF(OR(ISNUMBER(SEARCH("就协",D12)),ISNUMBER(SEARCH("就业协会",D12))),1,2/3))</f>
        <v/>
      </c>
      <c r="AD12" s="13" t="n"/>
    </row>
    <row r="13">
      <c r="A13" s="10" t="n"/>
      <c r="B13" s="10" t="n"/>
      <c r="C13" s="11" t="n"/>
      <c r="D13" s="10" t="n"/>
      <c r="E13" s="10" t="n"/>
      <c r="F13" s="10" t="n"/>
      <c r="G13" s="10" t="n"/>
      <c r="H13" s="10" t="n"/>
      <c r="I13" s="12">
        <f>IF($B13="","",B13)</f>
        <v/>
      </c>
      <c r="J13" s="12">
        <f>IF($B13="","",IFERROR(DATE(YEAR(TODAY()),MID(E13,FIND("-",E13)+1,FIND(".",E13,FIND("-",E13))-FIND("-",E13)-1),RIGHT(E13,LEN(E13)-FIND(".",E13,FIND("-",E13))))-DATE(YEAR(TODAY()),LEFT(E13,FIND(".",E13)-1),MID(E13,FIND(".",E13)+1,FIND("-",E13)-FIND(".",E13)-1))+1,"待填"))</f>
        <v/>
      </c>
      <c r="K13" s="12">
        <f>IF($B13="","",F13)</f>
        <v/>
      </c>
      <c r="L13" s="12">
        <f>IF($B13="","",T13&amp;"/人"&amp;"x"&amp;TEXT(AC13,"# ?/?"))</f>
        <v/>
      </c>
      <c r="M13" s="12">
        <f>IF($B13="","",U13)</f>
        <v/>
      </c>
      <c r="N13" s="12">
        <f>IF($B13="","",V13/2&amp;"/人·天*"&amp;TRIM(TEXT(AC13,"# ?/?"))&amp;"*"&amp;X13&amp;"晚")</f>
        <v/>
      </c>
      <c r="O13" s="12">
        <f>IF($B13="","",Y13)</f>
        <v/>
      </c>
      <c r="P13" s="12">
        <f>IF($B13="","",Z13&amp;"/人·周*"&amp;CEILING(J13/7,1)&amp;"周"&amp;"x"&amp;TEXT(AC13,"# ?/?"))</f>
        <v/>
      </c>
      <c r="Q13" s="12">
        <f>IF($B13="","",AA13)</f>
        <v/>
      </c>
      <c r="R13" s="12">
        <f>IF($B13="","",AB13)</f>
        <v/>
      </c>
      <c r="S13" s="13">
        <f>IF($B13="","",IF(OR(ISNUMBER(SEARCH("就协",D13)),ISNUMBER(SEARCH("就业协会",D13))),"就协全部","院系"&amp;TEXT(1-AC13,"# ?/?")&amp;"，剩余就协"))</f>
        <v/>
      </c>
      <c r="T13" s="14" t="n"/>
      <c r="U13" s="12">
        <f>IF($B13="","",K13*T13*AC13)</f>
        <v/>
      </c>
      <c r="V13" s="12" t="n">
        <v>300</v>
      </c>
      <c r="W13" s="12">
        <f>IF($B13="","",CEILING(K13/2,1))</f>
        <v/>
      </c>
      <c r="X13" s="12">
        <f>IF($B13="","",IF(ISNUMBER(J13),J13-1,""))</f>
        <v/>
      </c>
      <c r="Y13" s="12">
        <f>IF($B13="","",V13*W13*X13*AC13)</f>
        <v/>
      </c>
      <c r="Z13" s="12" t="n">
        <v>30</v>
      </c>
      <c r="AA13" s="12">
        <f>IF($B13="","",Z13*K13*CEILING(J13/7,1)*AC13)</f>
        <v/>
      </c>
      <c r="AB13" s="12">
        <f>IF($B13="","",U13+Y13+AA13)</f>
        <v/>
      </c>
      <c r="AC13" s="12">
        <f>IF($B13="","",IF(OR(ISNUMBER(SEARCH("就协",D13)),ISNUMBER(SEARCH("就业协会",D13))),1,2/3))</f>
        <v/>
      </c>
      <c r="AD13" s="13" t="n"/>
    </row>
    <row r="14">
      <c r="A14" s="10" t="n"/>
      <c r="B14" s="10" t="n"/>
      <c r="C14" s="11" t="n"/>
      <c r="D14" s="10" t="n"/>
      <c r="E14" s="10" t="n"/>
      <c r="F14" s="10" t="n"/>
      <c r="G14" s="10" t="n"/>
      <c r="H14" s="10" t="n"/>
      <c r="I14" s="12">
        <f>IF($B14="","",B14)</f>
        <v/>
      </c>
      <c r="J14" s="12">
        <f>IF($B14="","",IFERROR(DATE(YEAR(TODAY()),MID(E14,FIND("-",E14)+1,FIND(".",E14,FIND("-",E14))-FIND("-",E14)-1),RIGHT(E14,LEN(E14)-FIND(".",E14,FIND("-",E14))))-DATE(YEAR(TODAY()),LEFT(E14,FIND(".",E14)-1),MID(E14,FIND(".",E14)+1,FIND("-",E14)-FIND(".",E14)-1))+1,"待填"))</f>
        <v/>
      </c>
      <c r="K14" s="12">
        <f>IF($B14="","",F14)</f>
        <v/>
      </c>
      <c r="L14" s="12">
        <f>IF($B14="","",T14&amp;"/人"&amp;"x"&amp;TEXT(AC14,"# ?/?"))</f>
        <v/>
      </c>
      <c r="M14" s="12">
        <f>IF($B14="","",U14)</f>
        <v/>
      </c>
      <c r="N14" s="12">
        <f>IF($B14="","",V14/2&amp;"/人·天*"&amp;TRIM(TEXT(AC14,"# ?/?"))&amp;"*"&amp;X14&amp;"晚")</f>
        <v/>
      </c>
      <c r="O14" s="12">
        <f>IF($B14="","",Y14)</f>
        <v/>
      </c>
      <c r="P14" s="12">
        <f>IF($B14="","",Z14&amp;"/人·周*"&amp;CEILING(J14/7,1)&amp;"周"&amp;"x"&amp;TEXT(AC14,"# ?/?"))</f>
        <v/>
      </c>
      <c r="Q14" s="12">
        <f>IF($B14="","",AA14)</f>
        <v/>
      </c>
      <c r="R14" s="12">
        <f>IF($B14="","",AB14)</f>
        <v/>
      </c>
      <c r="S14" s="13">
        <f>IF($B14="","",IF(OR(ISNUMBER(SEARCH("就协",D14)),ISNUMBER(SEARCH("就业协会",D14))),"就协全部","院系"&amp;TEXT(1-AC14,"# ?/?")&amp;"，剩余就协"))</f>
        <v/>
      </c>
      <c r="T14" s="14" t="n"/>
      <c r="U14" s="12">
        <f>IF($B14="","",K14*T14*AC14)</f>
        <v/>
      </c>
      <c r="V14" s="12" t="n">
        <v>300</v>
      </c>
      <c r="W14" s="12">
        <f>IF($B14="","",CEILING(K14/2,1))</f>
        <v/>
      </c>
      <c r="X14" s="12">
        <f>IF($B14="","",IF(ISNUMBER(J14),J14-1,""))</f>
        <v/>
      </c>
      <c r="Y14" s="12">
        <f>IF($B14="","",V14*W14*X14*AC14)</f>
        <v/>
      </c>
      <c r="Z14" s="12" t="n">
        <v>30</v>
      </c>
      <c r="AA14" s="12">
        <f>IF($B14="","",Z14*K14*CEILING(J14/7,1)*AC14)</f>
        <v/>
      </c>
      <c r="AB14" s="12">
        <f>IF($B14="","",U14+Y14+AA14)</f>
        <v/>
      </c>
      <c r="AC14" s="12">
        <f>IF($B14="","",IF(OR(ISNUMBER(SEARCH("就协",D14)),ISNUMBER(SEARCH("就业协会",D14))),1,2/3))</f>
        <v/>
      </c>
      <c r="AD14" s="13" t="n"/>
    </row>
    <row r="15">
      <c r="A15" s="10" t="n"/>
      <c r="B15" s="10" t="n"/>
      <c r="C15" s="11" t="n"/>
      <c r="D15" s="10" t="n"/>
      <c r="E15" s="10" t="n"/>
      <c r="F15" s="10" t="n"/>
      <c r="G15" s="10" t="n"/>
      <c r="H15" s="10" t="n"/>
      <c r="I15" s="12">
        <f>IF($B15="","",B15)</f>
        <v/>
      </c>
      <c r="J15" s="12">
        <f>IF($B15="","",IFERROR(DATE(YEAR(TODAY()),MID(E15,FIND("-",E15)+1,FIND(".",E15,FIND("-",E15))-FIND("-",E15)-1),RIGHT(E15,LEN(E15)-FIND(".",E15,FIND("-",E15))))-DATE(YEAR(TODAY()),LEFT(E15,FIND(".",E15)-1),MID(E15,FIND(".",E15)+1,FIND("-",E15)-FIND(".",E15)-1))+1,"待填"))</f>
        <v/>
      </c>
      <c r="K15" s="12">
        <f>IF($B15="","",F15)</f>
        <v/>
      </c>
      <c r="L15" s="12">
        <f>IF($B15="","",T15&amp;"/人"&amp;"x"&amp;TEXT(AC15,"# ?/?"))</f>
        <v/>
      </c>
      <c r="M15" s="12">
        <f>IF($B15="","",U15)</f>
        <v/>
      </c>
      <c r="N15" s="12">
        <f>IF($B15="","",V15/2&amp;"/人·天*"&amp;TRIM(TEXT(AC15,"# ?/?"))&amp;"*"&amp;X15&amp;"晚")</f>
        <v/>
      </c>
      <c r="O15" s="12">
        <f>IF($B15="","",Y15)</f>
        <v/>
      </c>
      <c r="P15" s="12">
        <f>IF($B15="","",Z15&amp;"/人·周*"&amp;CEILING(J15/7,1)&amp;"周"&amp;"x"&amp;TEXT(AC15,"# ?/?"))</f>
        <v/>
      </c>
      <c r="Q15" s="12">
        <f>IF($B15="","",AA15)</f>
        <v/>
      </c>
      <c r="R15" s="12">
        <f>IF($B15="","",AB15)</f>
        <v/>
      </c>
      <c r="S15" s="13">
        <f>IF($B15="","",IF(OR(ISNUMBER(SEARCH("就协",D15)),ISNUMBER(SEARCH("就业协会",D15))),"就协全部","院系"&amp;TEXT(1-AC15,"# ?/?")&amp;"，剩余就协"))</f>
        <v/>
      </c>
      <c r="T15" s="14" t="n"/>
      <c r="U15" s="12">
        <f>IF($B15="","",K15*T15*AC15)</f>
        <v/>
      </c>
      <c r="V15" s="12" t="n">
        <v>300</v>
      </c>
      <c r="W15" s="12">
        <f>IF($B15="","",CEILING(K15/2,1))</f>
        <v/>
      </c>
      <c r="X15" s="12">
        <f>IF($B15="","",IF(ISNUMBER(J15),J15-1,""))</f>
        <v/>
      </c>
      <c r="Y15" s="12">
        <f>IF($B15="","",V15*W15*X15*AC15)</f>
        <v/>
      </c>
      <c r="Z15" s="12" t="n">
        <v>30</v>
      </c>
      <c r="AA15" s="12">
        <f>IF($B15="","",Z15*K15*CEILING(J15/7,1)*AC15)</f>
        <v/>
      </c>
      <c r="AB15" s="12">
        <f>IF($B15="","",U15+Y15+AA15)</f>
        <v/>
      </c>
      <c r="AC15" s="12">
        <f>IF($B15="","",IF(OR(ISNUMBER(SEARCH("就协",D15)),ISNUMBER(SEARCH("就业协会",D15))),1,2/3))</f>
        <v/>
      </c>
      <c r="AD15" s="13" t="n"/>
    </row>
    <row r="16">
      <c r="A16" s="10" t="n"/>
      <c r="B16" s="10" t="n"/>
      <c r="C16" s="11" t="n"/>
      <c r="D16" s="10" t="n"/>
      <c r="E16" s="10" t="n"/>
      <c r="F16" s="10" t="n"/>
      <c r="G16" s="10" t="n"/>
      <c r="H16" s="10" t="n"/>
      <c r="I16" s="12">
        <f>IF($B16="","",B16)</f>
        <v/>
      </c>
      <c r="J16" s="12">
        <f>IF($B16="","",IFERROR(DATE(YEAR(TODAY()),MID(E16,FIND("-",E16)+1,FIND(".",E16,FIND("-",E16))-FIND("-",E16)-1),RIGHT(E16,LEN(E16)-FIND(".",E16,FIND("-",E16))))-DATE(YEAR(TODAY()),LEFT(E16,FIND(".",E16)-1),MID(E16,FIND(".",E16)+1,FIND("-",E16)-FIND(".",E16)-1))+1,"待填"))</f>
        <v/>
      </c>
      <c r="K16" s="12">
        <f>IF($B16="","",F16)</f>
        <v/>
      </c>
      <c r="L16" s="12">
        <f>IF($B16="","",T16&amp;"/人"&amp;"x"&amp;TEXT(AC16,"# ?/?"))</f>
        <v/>
      </c>
      <c r="M16" s="12">
        <f>IF($B16="","",U16)</f>
        <v/>
      </c>
      <c r="N16" s="12">
        <f>IF($B16="","",V16/2&amp;"/人·天*"&amp;TRIM(TEXT(AC16,"# ?/?"))&amp;"*"&amp;X16&amp;"晚")</f>
        <v/>
      </c>
      <c r="O16" s="12">
        <f>IF($B16="","",Y16)</f>
        <v/>
      </c>
      <c r="P16" s="12">
        <f>IF($B16="","",Z16&amp;"/人·周*"&amp;CEILING(J16/7,1)&amp;"周"&amp;"x"&amp;TEXT(AC16,"# ?/?"))</f>
        <v/>
      </c>
      <c r="Q16" s="12">
        <f>IF($B16="","",AA16)</f>
        <v/>
      </c>
      <c r="R16" s="12">
        <f>IF($B16="","",AB16)</f>
        <v/>
      </c>
      <c r="S16" s="13">
        <f>IF($B16="","",IF(OR(ISNUMBER(SEARCH("就协",D16)),ISNUMBER(SEARCH("就业协会",D16))),"就协全部","院系"&amp;TEXT(1-AC16,"# ?/?")&amp;"，剩余就协"))</f>
        <v/>
      </c>
      <c r="T16" s="14" t="n"/>
      <c r="U16" s="12">
        <f>IF($B16="","",K16*T16*AC16)</f>
        <v/>
      </c>
      <c r="V16" s="12" t="n">
        <v>300</v>
      </c>
      <c r="W16" s="12">
        <f>IF($B16="","",CEILING(K16/2,1))</f>
        <v/>
      </c>
      <c r="X16" s="12">
        <f>IF($B16="","",IF(ISNUMBER(J16),J16-1,""))</f>
        <v/>
      </c>
      <c r="Y16" s="12">
        <f>IF($B16="","",V16*W16*X16*AC16)</f>
        <v/>
      </c>
      <c r="Z16" s="12" t="n">
        <v>30</v>
      </c>
      <c r="AA16" s="12">
        <f>IF($B16="","",Z16*K16*CEILING(J16/7,1)*AC16)</f>
        <v/>
      </c>
      <c r="AB16" s="12">
        <f>IF($B16="","",U16+Y16+AA16)</f>
        <v/>
      </c>
      <c r="AC16" s="12">
        <f>IF($B16="","",IF(OR(ISNUMBER(SEARCH("就协",D16)),ISNUMBER(SEARCH("就业协会",D16))),1,2/3))</f>
        <v/>
      </c>
      <c r="AD16" s="13" t="n"/>
    </row>
    <row r="17">
      <c r="A17" s="10" t="n"/>
      <c r="B17" s="10" t="n"/>
      <c r="C17" s="11" t="n"/>
      <c r="D17" s="10" t="n"/>
      <c r="E17" s="10" t="n"/>
      <c r="F17" s="10" t="n"/>
      <c r="G17" s="10" t="n"/>
      <c r="H17" s="10" t="n"/>
      <c r="I17" s="12">
        <f>IF($B17="","",B17)</f>
        <v/>
      </c>
      <c r="J17" s="12">
        <f>IF($B17="","",IFERROR(DATE(YEAR(TODAY()),MID(E17,FIND("-",E17)+1,FIND(".",E17,FIND("-",E17))-FIND("-",E17)-1),RIGHT(E17,LEN(E17)-FIND(".",E17,FIND("-",E17))))-DATE(YEAR(TODAY()),LEFT(E17,FIND(".",E17)-1),MID(E17,FIND(".",E17)+1,FIND("-",E17)-FIND(".",E17)-1))+1,"待填"))</f>
        <v/>
      </c>
      <c r="K17" s="12">
        <f>IF($B17="","",F17)</f>
        <v/>
      </c>
      <c r="L17" s="12">
        <f>IF($B17="","",T17&amp;"/人"&amp;"x"&amp;TEXT(AC17,"# ?/?"))</f>
        <v/>
      </c>
      <c r="M17" s="12">
        <f>IF($B17="","",U17)</f>
        <v/>
      </c>
      <c r="N17" s="12">
        <f>IF($B17="","",V17/2&amp;"/人·天*"&amp;TRIM(TEXT(AC17,"# ?/?"))&amp;"*"&amp;X17&amp;"晚")</f>
        <v/>
      </c>
      <c r="O17" s="12">
        <f>IF($B17="","",Y17)</f>
        <v/>
      </c>
      <c r="P17" s="12">
        <f>IF($B17="","",Z17&amp;"/人·周*"&amp;CEILING(J17/7,1)&amp;"周"&amp;"x"&amp;TEXT(AC17,"# ?/?"))</f>
        <v/>
      </c>
      <c r="Q17" s="12">
        <f>IF($B17="","",AA17)</f>
        <v/>
      </c>
      <c r="R17" s="12">
        <f>IF($B17="","",AB17)</f>
        <v/>
      </c>
      <c r="S17" s="13">
        <f>IF($B17="","",IF(OR(ISNUMBER(SEARCH("就协",D17)),ISNUMBER(SEARCH("就业协会",D17))),"就协全部","院系"&amp;TEXT(1-AC17,"# ?/?")&amp;"，剩余就协"))</f>
        <v/>
      </c>
      <c r="T17" s="14" t="n"/>
      <c r="U17" s="12">
        <f>IF($B17="","",K17*T17*AC17)</f>
        <v/>
      </c>
      <c r="V17" s="12" t="n">
        <v>300</v>
      </c>
      <c r="W17" s="12">
        <f>IF($B17="","",CEILING(K17/2,1))</f>
        <v/>
      </c>
      <c r="X17" s="12">
        <f>IF($B17="","",IF(ISNUMBER(J17),J17-1,""))</f>
        <v/>
      </c>
      <c r="Y17" s="12">
        <f>IF($B17="","",V17*W17*X17*AC17)</f>
        <v/>
      </c>
      <c r="Z17" s="12" t="n">
        <v>30</v>
      </c>
      <c r="AA17" s="12">
        <f>IF($B17="","",Z17*K17*CEILING(J17/7,1)*AC17)</f>
        <v/>
      </c>
      <c r="AB17" s="12">
        <f>IF($B17="","",U17+Y17+AA17)</f>
        <v/>
      </c>
      <c r="AC17" s="12">
        <f>IF($B17="","",IF(OR(ISNUMBER(SEARCH("就协",D17)),ISNUMBER(SEARCH("就业协会",D17))),1,2/3))</f>
        <v/>
      </c>
      <c r="AD17" s="13" t="n"/>
    </row>
    <row r="18">
      <c r="A18" s="10" t="n"/>
      <c r="B18" s="10" t="n"/>
      <c r="C18" s="11" t="n"/>
      <c r="D18" s="10" t="n"/>
      <c r="E18" s="10" t="n"/>
      <c r="F18" s="10" t="n"/>
      <c r="G18" s="10" t="n"/>
      <c r="H18" s="10" t="n"/>
      <c r="I18" s="12">
        <f>IF($B18="","",B18)</f>
        <v/>
      </c>
      <c r="J18" s="12">
        <f>IF($B18="","",IFERROR(DATE(YEAR(TODAY()),MID(E18,FIND("-",E18)+1,FIND(".",E18,FIND("-",E18))-FIND("-",E18)-1),RIGHT(E18,LEN(E18)-FIND(".",E18,FIND("-",E18))))-DATE(YEAR(TODAY()),LEFT(E18,FIND(".",E18)-1),MID(E18,FIND(".",E18)+1,FIND("-",E18)-FIND(".",E18)-1))+1,"待填"))</f>
        <v/>
      </c>
      <c r="K18" s="12">
        <f>IF($B18="","",F18)</f>
        <v/>
      </c>
      <c r="L18" s="12">
        <f>IF($B18="","",T18&amp;"/人"&amp;"x"&amp;TEXT(AC18,"# ?/?"))</f>
        <v/>
      </c>
      <c r="M18" s="12">
        <f>IF($B18="","",U18)</f>
        <v/>
      </c>
      <c r="N18" s="12">
        <f>IF($B18="","",V18/2&amp;"/人·天*"&amp;TRIM(TEXT(AC18,"# ?/?"))&amp;"*"&amp;X18&amp;"晚")</f>
        <v/>
      </c>
      <c r="O18" s="12">
        <f>IF($B18="","",Y18)</f>
        <v/>
      </c>
      <c r="P18" s="12">
        <f>IF($B18="","",Z18&amp;"/人·周*"&amp;CEILING(J18/7,1)&amp;"周"&amp;"x"&amp;TEXT(AC18,"# ?/?"))</f>
        <v/>
      </c>
      <c r="Q18" s="12">
        <f>IF($B18="","",AA18)</f>
        <v/>
      </c>
      <c r="R18" s="12">
        <f>IF($B18="","",AB18)</f>
        <v/>
      </c>
      <c r="S18" s="13">
        <f>IF($B18="","",IF(OR(ISNUMBER(SEARCH("就协",D18)),ISNUMBER(SEARCH("就业协会",D18))),"就协全部","院系"&amp;TEXT(1-AC18,"# ?/?")&amp;"，剩余就协"))</f>
        <v/>
      </c>
      <c r="T18" s="14" t="n"/>
      <c r="U18" s="12">
        <f>IF($B18="","",K18*T18*AC18)</f>
        <v/>
      </c>
      <c r="V18" s="12" t="n">
        <v>300</v>
      </c>
      <c r="W18" s="12">
        <f>IF($B18="","",CEILING(K18/2,1))</f>
        <v/>
      </c>
      <c r="X18" s="12">
        <f>IF($B18="","",IF(ISNUMBER(J18),J18-1,""))</f>
        <v/>
      </c>
      <c r="Y18" s="12">
        <f>IF($B18="","",V18*W18*X18*AC18)</f>
        <v/>
      </c>
      <c r="Z18" s="12" t="n">
        <v>30</v>
      </c>
      <c r="AA18" s="12">
        <f>IF($B18="","",Z18*K18*CEILING(J18/7,1)*AC18)</f>
        <v/>
      </c>
      <c r="AB18" s="12">
        <f>IF($B18="","",U18+Y18+AA18)</f>
        <v/>
      </c>
      <c r="AC18" s="12">
        <f>IF($B18="","",IF(OR(ISNUMBER(SEARCH("就协",D18)),ISNUMBER(SEARCH("就业协会",D18))),1,2/3))</f>
        <v/>
      </c>
      <c r="AD18" s="13" t="n"/>
    </row>
    <row r="19">
      <c r="A19" s="10" t="n"/>
      <c r="B19" s="10" t="n"/>
      <c r="C19" s="11" t="n"/>
      <c r="D19" s="10" t="n"/>
      <c r="E19" s="10" t="n"/>
      <c r="F19" s="10" t="n"/>
      <c r="G19" s="10" t="n"/>
      <c r="H19" s="10" t="n"/>
      <c r="I19" s="12">
        <f>IF($B19="","",B19)</f>
        <v/>
      </c>
      <c r="J19" s="12">
        <f>IF($B19="","",IFERROR(DATE(YEAR(TODAY()),MID(E19,FIND("-",E19)+1,FIND(".",E19,FIND("-",E19))-FIND("-",E19)-1),RIGHT(E19,LEN(E19)-FIND(".",E19,FIND("-",E19))))-DATE(YEAR(TODAY()),LEFT(E19,FIND(".",E19)-1),MID(E19,FIND(".",E19)+1,FIND("-",E19)-FIND(".",E19)-1))+1,"待填"))</f>
        <v/>
      </c>
      <c r="K19" s="12">
        <f>IF($B19="","",F19)</f>
        <v/>
      </c>
      <c r="L19" s="12">
        <f>IF($B19="","",T19&amp;"/人"&amp;"x"&amp;TEXT(AC19,"# ?/?"))</f>
        <v/>
      </c>
      <c r="M19" s="12">
        <f>IF($B19="","",U19)</f>
        <v/>
      </c>
      <c r="N19" s="12">
        <f>IF($B19="","",V19/2&amp;"/人·天*"&amp;TRIM(TEXT(AC19,"# ?/?"))&amp;"*"&amp;X19&amp;"晚")</f>
        <v/>
      </c>
      <c r="O19" s="12">
        <f>IF($B19="","",Y19)</f>
        <v/>
      </c>
      <c r="P19" s="12">
        <f>IF($B19="","",Z19&amp;"/人·周*"&amp;CEILING(J19/7,1)&amp;"周"&amp;"x"&amp;TEXT(AC19,"# ?/?"))</f>
        <v/>
      </c>
      <c r="Q19" s="12">
        <f>IF($B19="","",AA19)</f>
        <v/>
      </c>
      <c r="R19" s="12">
        <f>IF($B19="","",AB19)</f>
        <v/>
      </c>
      <c r="S19" s="13">
        <f>IF($B19="","",IF(OR(ISNUMBER(SEARCH("就协",D19)),ISNUMBER(SEARCH("就业协会",D19))),"就协全部","院系"&amp;TEXT(1-AC19,"# ?/?")&amp;"，剩余就协"))</f>
        <v/>
      </c>
      <c r="T19" s="14" t="n"/>
      <c r="U19" s="12">
        <f>IF($B19="","",K19*T19*AC19)</f>
        <v/>
      </c>
      <c r="V19" s="12" t="n">
        <v>300</v>
      </c>
      <c r="W19" s="12">
        <f>IF($B19="","",CEILING(K19/2,1))</f>
        <v/>
      </c>
      <c r="X19" s="12">
        <f>IF($B19="","",IF(ISNUMBER(J19),J19-1,""))</f>
        <v/>
      </c>
      <c r="Y19" s="12">
        <f>IF($B19="","",V19*W19*X19*AC19)</f>
        <v/>
      </c>
      <c r="Z19" s="12" t="n">
        <v>30</v>
      </c>
      <c r="AA19" s="12">
        <f>IF($B19="","",Z19*K19*CEILING(J19/7,1)*AC19)</f>
        <v/>
      </c>
      <c r="AB19" s="12">
        <f>IF($B19="","",U19+Y19+AA19)</f>
        <v/>
      </c>
      <c r="AC19" s="12">
        <f>IF($B19="","",IF(OR(ISNUMBER(SEARCH("就协",D19)),ISNUMBER(SEARCH("就业协会",D19))),1,2/3))</f>
        <v/>
      </c>
      <c r="AD19" s="13" t="n"/>
    </row>
    <row r="20">
      <c r="A20" s="10" t="n"/>
      <c r="B20" s="10" t="n"/>
      <c r="C20" s="11" t="n"/>
      <c r="D20" s="10" t="n"/>
      <c r="E20" s="10" t="n"/>
      <c r="F20" s="10" t="n"/>
      <c r="G20" s="10" t="n"/>
      <c r="H20" s="10" t="n"/>
      <c r="I20" s="12">
        <f>IF($B20="","",B20)</f>
        <v/>
      </c>
      <c r="J20" s="12">
        <f>IF($B20="","",IFERROR(DATE(YEAR(TODAY()),MID(E20,FIND("-",E20)+1,FIND(".",E20,FIND("-",E20))-FIND("-",E20)-1),RIGHT(E20,LEN(E20)-FIND(".",E20,FIND("-",E20))))-DATE(YEAR(TODAY()),LEFT(E20,FIND(".",E20)-1),MID(E20,FIND(".",E20)+1,FIND("-",E20)-FIND(".",E20)-1))+1,"待填"))</f>
        <v/>
      </c>
      <c r="K20" s="12">
        <f>IF($B20="","",F20)</f>
        <v/>
      </c>
      <c r="L20" s="12">
        <f>IF($B20="","",T20&amp;"/人"&amp;"x"&amp;TEXT(AC20,"# ?/?"))</f>
        <v/>
      </c>
      <c r="M20" s="12">
        <f>IF($B20="","",U20)</f>
        <v/>
      </c>
      <c r="N20" s="12">
        <f>IF($B20="","",V20/2&amp;"/人·天*"&amp;TRIM(TEXT(AC20,"# ?/?"))&amp;"*"&amp;X20&amp;"晚")</f>
        <v/>
      </c>
      <c r="O20" s="12">
        <f>IF($B20="","",Y20)</f>
        <v/>
      </c>
      <c r="P20" s="12">
        <f>IF($B20="","",Z20&amp;"/人·周*"&amp;CEILING(J20/7,1)&amp;"周"&amp;"x"&amp;TEXT(AC20,"# ?/?"))</f>
        <v/>
      </c>
      <c r="Q20" s="12">
        <f>IF($B20="","",AA20)</f>
        <v/>
      </c>
      <c r="R20" s="12">
        <f>IF($B20="","",AB20)</f>
        <v/>
      </c>
      <c r="S20" s="13">
        <f>IF($B20="","",IF(OR(ISNUMBER(SEARCH("就协",D20)),ISNUMBER(SEARCH("就业协会",D20))),"就协全部","院系"&amp;TEXT(1-AC20,"# ?/?")&amp;"，剩余就协"))</f>
        <v/>
      </c>
      <c r="T20" s="14" t="n"/>
      <c r="U20" s="12">
        <f>IF($B20="","",K20*T20*AC20)</f>
        <v/>
      </c>
      <c r="V20" s="12" t="n">
        <v>300</v>
      </c>
      <c r="W20" s="12">
        <f>IF($B20="","",CEILING(K20/2,1))</f>
        <v/>
      </c>
      <c r="X20" s="12">
        <f>IF($B20="","",IF(ISNUMBER(J20),J20-1,""))</f>
        <v/>
      </c>
      <c r="Y20" s="12">
        <f>IF($B20="","",V20*W20*X20*AC20)</f>
        <v/>
      </c>
      <c r="Z20" s="12" t="n">
        <v>30</v>
      </c>
      <c r="AA20" s="12">
        <f>IF($B20="","",Z20*K20*CEILING(J20/7,1)*AC20)</f>
        <v/>
      </c>
      <c r="AB20" s="12">
        <f>IF($B20="","",U20+Y20+AA20)</f>
        <v/>
      </c>
      <c r="AC20" s="12">
        <f>IF($B20="","",IF(OR(ISNUMBER(SEARCH("就协",D20)),ISNUMBER(SEARCH("就业协会",D20))),1,2/3))</f>
        <v/>
      </c>
      <c r="AD20" s="13" t="n"/>
    </row>
    <row r="21">
      <c r="A21" s="10" t="n"/>
      <c r="B21" s="10" t="n"/>
      <c r="C21" s="11" t="n"/>
      <c r="D21" s="10" t="n"/>
      <c r="E21" s="10" t="n"/>
      <c r="F21" s="10" t="n"/>
      <c r="G21" s="10" t="n"/>
      <c r="H21" s="10" t="n"/>
      <c r="I21" s="12">
        <f>IF($B21="","",B21)</f>
        <v/>
      </c>
      <c r="J21" s="12">
        <f>IF($B21="","",IFERROR(DATE(YEAR(TODAY()),MID(E21,FIND("-",E21)+1,FIND(".",E21,FIND("-",E21))-FIND("-",E21)-1),RIGHT(E21,LEN(E21)-FIND(".",E21,FIND("-",E21))))-DATE(YEAR(TODAY()),LEFT(E21,FIND(".",E21)-1),MID(E21,FIND(".",E21)+1,FIND("-",E21)-FIND(".",E21)-1))+1,"待填"))</f>
        <v/>
      </c>
      <c r="K21" s="12">
        <f>IF($B21="","",F21)</f>
        <v/>
      </c>
      <c r="L21" s="12">
        <f>IF($B21="","",T21&amp;"/人"&amp;"x"&amp;TEXT(AC21,"# ?/?"))</f>
        <v/>
      </c>
      <c r="M21" s="12">
        <f>IF($B21="","",U21)</f>
        <v/>
      </c>
      <c r="N21" s="12">
        <f>IF($B21="","",V21/2&amp;"/人·天*"&amp;TRIM(TEXT(AC21,"# ?/?"))&amp;"*"&amp;X21&amp;"晚")</f>
        <v/>
      </c>
      <c r="O21" s="12">
        <f>IF($B21="","",Y21)</f>
        <v/>
      </c>
      <c r="P21" s="12">
        <f>IF($B21="","",Z21&amp;"/人·周*"&amp;CEILING(J21/7,1)&amp;"周"&amp;"x"&amp;TEXT(AC21,"# ?/?"))</f>
        <v/>
      </c>
      <c r="Q21" s="12">
        <f>IF($B21="","",AA21)</f>
        <v/>
      </c>
      <c r="R21" s="12">
        <f>IF($B21="","",AB21)</f>
        <v/>
      </c>
      <c r="S21" s="13">
        <f>IF($B21="","",IF(OR(ISNUMBER(SEARCH("就协",D21)),ISNUMBER(SEARCH("就业协会",D21))),"就协全部","院系"&amp;TEXT(1-AC21,"# ?/?")&amp;"，剩余就协"))</f>
        <v/>
      </c>
      <c r="T21" s="14" t="n"/>
      <c r="U21" s="12">
        <f>IF($B21="","",K21*T21*AC21)</f>
        <v/>
      </c>
      <c r="V21" s="12" t="n">
        <v>300</v>
      </c>
      <c r="W21" s="12">
        <f>IF($B21="","",CEILING(K21/2,1))</f>
        <v/>
      </c>
      <c r="X21" s="12">
        <f>IF($B21="","",IF(ISNUMBER(J21),J21-1,""))</f>
        <v/>
      </c>
      <c r="Y21" s="12">
        <f>IF($B21="","",V21*W21*X21*AC21)</f>
        <v/>
      </c>
      <c r="Z21" s="12" t="n">
        <v>30</v>
      </c>
      <c r="AA21" s="12">
        <f>IF($B21="","",Z21*K21*CEILING(J21/7,1)*AC21)</f>
        <v/>
      </c>
      <c r="AB21" s="12">
        <f>IF($B21="","",U21+Y21+AA21)</f>
        <v/>
      </c>
      <c r="AC21" s="12">
        <f>IF($B21="","",IF(OR(ISNUMBER(SEARCH("就协",D21)),ISNUMBER(SEARCH("就业协会",D21))),1,2/3))</f>
        <v/>
      </c>
      <c r="AD21" s="13" t="n"/>
    </row>
    <row r="22">
      <c r="A22" s="10" t="n"/>
      <c r="B22" s="10" t="n"/>
      <c r="C22" s="11" t="n"/>
      <c r="D22" s="10" t="n"/>
      <c r="E22" s="10" t="n"/>
      <c r="F22" s="10" t="n"/>
      <c r="G22" s="10" t="n"/>
      <c r="H22" s="10" t="n"/>
      <c r="I22" s="12">
        <f>IF($B22="","",B22)</f>
        <v/>
      </c>
      <c r="J22" s="12">
        <f>IF($B22="","",IFERROR(DATE(YEAR(TODAY()),MID(E22,FIND("-",E22)+1,FIND(".",E22,FIND("-",E22))-FIND("-",E22)-1),RIGHT(E22,LEN(E22)-FIND(".",E22,FIND("-",E22))))-DATE(YEAR(TODAY()),LEFT(E22,FIND(".",E22)-1),MID(E22,FIND(".",E22)+1,FIND("-",E22)-FIND(".",E22)-1))+1,"待填"))</f>
        <v/>
      </c>
      <c r="K22" s="12">
        <f>IF($B22="","",F22)</f>
        <v/>
      </c>
      <c r="L22" s="12">
        <f>IF($B22="","",T22&amp;"/人"&amp;"x"&amp;TEXT(AC22,"# ?/?"))</f>
        <v/>
      </c>
      <c r="M22" s="12">
        <f>IF($B22="","",U22)</f>
        <v/>
      </c>
      <c r="N22" s="12">
        <f>IF($B22="","",V22/2&amp;"/人·天*"&amp;TRIM(TEXT(AC22,"# ?/?"))&amp;"*"&amp;X22&amp;"晚")</f>
        <v/>
      </c>
      <c r="O22" s="12">
        <f>IF($B22="","",Y22)</f>
        <v/>
      </c>
      <c r="P22" s="12">
        <f>IF($B22="","",Z22&amp;"/人·周*"&amp;CEILING(J22/7,1)&amp;"周"&amp;"x"&amp;TEXT(AC22,"# ?/?"))</f>
        <v/>
      </c>
      <c r="Q22" s="12">
        <f>IF($B22="","",AA22)</f>
        <v/>
      </c>
      <c r="R22" s="12">
        <f>IF($B22="","",AB22)</f>
        <v/>
      </c>
      <c r="S22" s="13">
        <f>IF($B22="","",IF(OR(ISNUMBER(SEARCH("就协",D22)),ISNUMBER(SEARCH("就业协会",D22))),"就协全部","院系"&amp;TEXT(1-AC22,"# ?/?")&amp;"，剩余就协"))</f>
        <v/>
      </c>
      <c r="T22" s="14" t="n"/>
      <c r="U22" s="12">
        <f>IF($B22="","",K22*T22*AC22)</f>
        <v/>
      </c>
      <c r="V22" s="12" t="n">
        <v>300</v>
      </c>
      <c r="W22" s="12">
        <f>IF($B22="","",CEILING(K22/2,1))</f>
        <v/>
      </c>
      <c r="X22" s="12">
        <f>IF($B22="","",IF(ISNUMBER(J22),J22-1,""))</f>
        <v/>
      </c>
      <c r="Y22" s="12">
        <f>IF($B22="","",V22*W22*X22*AC22)</f>
        <v/>
      </c>
      <c r="Z22" s="12" t="n">
        <v>30</v>
      </c>
      <c r="AA22" s="12">
        <f>IF($B22="","",Z22*K22*CEILING(J22/7,1)*AC22)</f>
        <v/>
      </c>
      <c r="AB22" s="12">
        <f>IF($B22="","",U22+Y22+AA22)</f>
        <v/>
      </c>
      <c r="AC22" s="12">
        <f>IF($B22="","",IF(OR(ISNUMBER(SEARCH("就协",D22)),ISNUMBER(SEARCH("就业协会",D22))),1,2/3))</f>
        <v/>
      </c>
      <c r="AD22" s="13" t="n"/>
    </row>
    <row r="23">
      <c r="A23" s="10" t="n"/>
      <c r="B23" s="10" t="n"/>
      <c r="C23" s="11" t="n"/>
      <c r="D23" s="10" t="n"/>
      <c r="E23" s="10" t="n"/>
      <c r="F23" s="10" t="n"/>
      <c r="G23" s="10" t="n"/>
      <c r="H23" s="10" t="n"/>
      <c r="I23" s="12">
        <f>IF($B23="","",B23)</f>
        <v/>
      </c>
      <c r="J23" s="12">
        <f>IF($B23="","",IFERROR(DATE(YEAR(TODAY()),MID(E23,FIND("-",E23)+1,FIND(".",E23,FIND("-",E23))-FIND("-",E23)-1),RIGHT(E23,LEN(E23)-FIND(".",E23,FIND("-",E23))))-DATE(YEAR(TODAY()),LEFT(E23,FIND(".",E23)-1),MID(E23,FIND(".",E23)+1,FIND("-",E23)-FIND(".",E23)-1))+1,"待填"))</f>
        <v/>
      </c>
      <c r="K23" s="12">
        <f>IF($B23="","",F23)</f>
        <v/>
      </c>
      <c r="L23" s="12">
        <f>IF($B23="","",T23&amp;"/人"&amp;"x"&amp;TEXT(AC23,"# ?/?"))</f>
        <v/>
      </c>
      <c r="M23" s="12">
        <f>IF($B23="","",U23)</f>
        <v/>
      </c>
      <c r="N23" s="12">
        <f>IF($B23="","",V23/2&amp;"/人·天*"&amp;TRIM(TEXT(AC23,"# ?/?"))&amp;"*"&amp;X23&amp;"晚")</f>
        <v/>
      </c>
      <c r="O23" s="12">
        <f>IF($B23="","",Y23)</f>
        <v/>
      </c>
      <c r="P23" s="12">
        <f>IF($B23="","",Z23&amp;"/人·周*"&amp;CEILING(J23/7,1)&amp;"周"&amp;"x"&amp;TEXT(AC23,"# ?/?"))</f>
        <v/>
      </c>
      <c r="Q23" s="12">
        <f>IF($B23="","",AA23)</f>
        <v/>
      </c>
      <c r="R23" s="12">
        <f>IF($B23="","",AB23)</f>
        <v/>
      </c>
      <c r="S23" s="13">
        <f>IF($B23="","",IF(OR(ISNUMBER(SEARCH("就协",D23)),ISNUMBER(SEARCH("就业协会",D23))),"就协全部","院系"&amp;TEXT(1-AC23,"# ?/?")&amp;"，剩余就协"))</f>
        <v/>
      </c>
      <c r="T23" s="14" t="n"/>
      <c r="U23" s="12">
        <f>IF($B23="","",K23*T23*AC23)</f>
        <v/>
      </c>
      <c r="V23" s="12" t="n">
        <v>300</v>
      </c>
      <c r="W23" s="12">
        <f>IF($B23="","",CEILING(K23/2,1))</f>
        <v/>
      </c>
      <c r="X23" s="12">
        <f>IF($B23="","",IF(ISNUMBER(J23),J23-1,""))</f>
        <v/>
      </c>
      <c r="Y23" s="12">
        <f>IF($B23="","",V23*W23*X23*AC23)</f>
        <v/>
      </c>
      <c r="Z23" s="12" t="n">
        <v>30</v>
      </c>
      <c r="AA23" s="12">
        <f>IF($B23="","",Z23*K23*CEILING(J23/7,1)*AC23)</f>
        <v/>
      </c>
      <c r="AB23" s="12">
        <f>IF($B23="","",U23+Y23+AA23)</f>
        <v/>
      </c>
      <c r="AC23" s="12">
        <f>IF($B23="","",IF(OR(ISNUMBER(SEARCH("就协",D23)),ISNUMBER(SEARCH("就业协会",D23))),1,2/3))</f>
        <v/>
      </c>
      <c r="AD23" s="13" t="n"/>
    </row>
    <row r="24">
      <c r="A24" s="10" t="n"/>
      <c r="B24" s="10" t="n"/>
      <c r="C24" s="11" t="n"/>
      <c r="D24" s="10" t="n"/>
      <c r="E24" s="10" t="n"/>
      <c r="F24" s="10" t="n"/>
      <c r="G24" s="10" t="n"/>
      <c r="H24" s="10" t="n"/>
      <c r="I24" s="12">
        <f>IF($B24="","",B24)</f>
        <v/>
      </c>
      <c r="J24" s="12">
        <f>IF($B24="","",IFERROR(DATE(YEAR(TODAY()),MID(E24,FIND("-",E24)+1,FIND(".",E24,FIND("-",E24))-FIND("-",E24)-1),RIGHT(E24,LEN(E24)-FIND(".",E24,FIND("-",E24))))-DATE(YEAR(TODAY()),LEFT(E24,FIND(".",E24)-1),MID(E24,FIND(".",E24)+1,FIND("-",E24)-FIND(".",E24)-1))+1,"待填"))</f>
        <v/>
      </c>
      <c r="K24" s="12">
        <f>IF($B24="","",F24)</f>
        <v/>
      </c>
      <c r="L24" s="12">
        <f>IF($B24="","",T24&amp;"/人"&amp;"x"&amp;TEXT(AC24,"# ?/?"))</f>
        <v/>
      </c>
      <c r="M24" s="12">
        <f>IF($B24="","",U24)</f>
        <v/>
      </c>
      <c r="N24" s="12">
        <f>IF($B24="","",V24/2&amp;"/人·天*"&amp;TRIM(TEXT(AC24,"# ?/?"))&amp;"*"&amp;X24&amp;"晚")</f>
        <v/>
      </c>
      <c r="O24" s="12">
        <f>IF($B24="","",Y24)</f>
        <v/>
      </c>
      <c r="P24" s="12">
        <f>IF($B24="","",Z24&amp;"/人·周*"&amp;CEILING(J24/7,1)&amp;"周"&amp;"x"&amp;TEXT(AC24,"# ?/?"))</f>
        <v/>
      </c>
      <c r="Q24" s="12">
        <f>IF($B24="","",AA24)</f>
        <v/>
      </c>
      <c r="R24" s="12">
        <f>IF($B24="","",AB24)</f>
        <v/>
      </c>
      <c r="S24" s="13">
        <f>IF($B24="","",IF(OR(ISNUMBER(SEARCH("就协",D24)),ISNUMBER(SEARCH("就业协会",D24))),"就协全部","院系"&amp;TEXT(1-AC24,"# ?/?")&amp;"，剩余就协"))</f>
        <v/>
      </c>
      <c r="T24" s="14" t="n"/>
      <c r="U24" s="12">
        <f>IF($B24="","",K24*T24*AC24)</f>
        <v/>
      </c>
      <c r="V24" s="12" t="n">
        <v>300</v>
      </c>
      <c r="W24" s="12">
        <f>IF($B24="","",CEILING(K24/2,1))</f>
        <v/>
      </c>
      <c r="X24" s="12">
        <f>IF($B24="","",IF(ISNUMBER(J24),J24-1,""))</f>
        <v/>
      </c>
      <c r="Y24" s="12">
        <f>IF($B24="","",V24*W24*X24*AC24)</f>
        <v/>
      </c>
      <c r="Z24" s="12" t="n">
        <v>30</v>
      </c>
      <c r="AA24" s="12">
        <f>IF($B24="","",Z24*K24*CEILING(J24/7,1)*AC24)</f>
        <v/>
      </c>
      <c r="AB24" s="12">
        <f>IF($B24="","",U24+Y24+AA24)</f>
        <v/>
      </c>
      <c r="AC24" s="12">
        <f>IF($B24="","",IF(OR(ISNUMBER(SEARCH("就协",D24)),ISNUMBER(SEARCH("就业协会",D24))),1,2/3))</f>
        <v/>
      </c>
      <c r="AD24" s="13" t="n"/>
    </row>
    <row r="25">
      <c r="A25" s="10" t="n"/>
      <c r="B25" s="10" t="n"/>
      <c r="C25" s="11" t="n"/>
      <c r="D25" s="10" t="n"/>
      <c r="E25" s="10" t="n"/>
      <c r="F25" s="10" t="n"/>
      <c r="G25" s="10" t="n"/>
      <c r="H25" s="10" t="n"/>
      <c r="I25" s="12">
        <f>IF($B25="","",B25)</f>
        <v/>
      </c>
      <c r="J25" s="12">
        <f>IF($B25="","",IFERROR(DATE(YEAR(TODAY()),MID(E25,FIND("-",E25)+1,FIND(".",E25,FIND("-",E25))-FIND("-",E25)-1),RIGHT(E25,LEN(E25)-FIND(".",E25,FIND("-",E25))))-DATE(YEAR(TODAY()),LEFT(E25,FIND(".",E25)-1),MID(E25,FIND(".",E25)+1,FIND("-",E25)-FIND(".",E25)-1))+1,"待填"))</f>
        <v/>
      </c>
      <c r="K25" s="12">
        <f>IF($B25="","",F25)</f>
        <v/>
      </c>
      <c r="L25" s="12">
        <f>IF($B25="","",T25&amp;"/人"&amp;"x"&amp;TEXT(AC25,"# ?/?"))</f>
        <v/>
      </c>
      <c r="M25" s="12">
        <f>IF($B25="","",U25)</f>
        <v/>
      </c>
      <c r="N25" s="12">
        <f>IF($B25="","",V25/2&amp;"/人·天*"&amp;TRIM(TEXT(AC25,"# ?/?"))&amp;"*"&amp;X25&amp;"晚")</f>
        <v/>
      </c>
      <c r="O25" s="12">
        <f>IF($B25="","",Y25)</f>
        <v/>
      </c>
      <c r="P25" s="12">
        <f>IF($B25="","",Z25&amp;"/人·周*"&amp;CEILING(J25/7,1)&amp;"周"&amp;"x"&amp;TEXT(AC25,"# ?/?"))</f>
        <v/>
      </c>
      <c r="Q25" s="12">
        <f>IF($B25="","",AA25)</f>
        <v/>
      </c>
      <c r="R25" s="12">
        <f>IF($B25="","",AB25)</f>
        <v/>
      </c>
      <c r="S25" s="13">
        <f>IF($B25="","",IF(OR(ISNUMBER(SEARCH("就协",D25)),ISNUMBER(SEARCH("就业协会",D25))),"就协全部","院系"&amp;TEXT(1-AC25,"# ?/?")&amp;"，剩余就协"))</f>
        <v/>
      </c>
      <c r="T25" s="14" t="n"/>
      <c r="U25" s="12">
        <f>IF($B25="","",K25*T25*AC25)</f>
        <v/>
      </c>
      <c r="V25" s="12" t="n">
        <v>300</v>
      </c>
      <c r="W25" s="12">
        <f>IF($B25="","",CEILING(K25/2,1))</f>
        <v/>
      </c>
      <c r="X25" s="12">
        <f>IF($B25="","",IF(ISNUMBER(J25),J25-1,""))</f>
        <v/>
      </c>
      <c r="Y25" s="12">
        <f>IF($B25="","",V25*W25*X25*AC25)</f>
        <v/>
      </c>
      <c r="Z25" s="12" t="n">
        <v>30</v>
      </c>
      <c r="AA25" s="12">
        <f>IF($B25="","",Z25*K25*CEILING(J25/7,1)*AC25)</f>
        <v/>
      </c>
      <c r="AB25" s="12">
        <f>IF($B25="","",U25+Y25+AA25)</f>
        <v/>
      </c>
      <c r="AC25" s="12">
        <f>IF($B25="","",IF(OR(ISNUMBER(SEARCH("就协",D25)),ISNUMBER(SEARCH("就业协会",D25))),1,2/3))</f>
        <v/>
      </c>
      <c r="AD25" s="13" t="n"/>
    </row>
    <row r="26">
      <c r="A26" s="10" t="n"/>
      <c r="B26" s="10" t="n"/>
      <c r="C26" s="11" t="n"/>
      <c r="D26" s="10" t="n"/>
      <c r="E26" s="10" t="n"/>
      <c r="F26" s="10" t="n"/>
      <c r="G26" s="10" t="n"/>
      <c r="H26" s="10" t="n"/>
      <c r="I26" s="12">
        <f>IF($B26="","",B26)</f>
        <v/>
      </c>
      <c r="J26" s="12">
        <f>IF($B26="","",IFERROR(DATE(YEAR(TODAY()),MID(E26,FIND("-",E26)+1,FIND(".",E26,FIND("-",E26))-FIND("-",E26)-1),RIGHT(E26,LEN(E26)-FIND(".",E26,FIND("-",E26))))-DATE(YEAR(TODAY()),LEFT(E26,FIND(".",E26)-1),MID(E26,FIND(".",E26)+1,FIND("-",E26)-FIND(".",E26)-1))+1,"待填"))</f>
        <v/>
      </c>
      <c r="K26" s="12">
        <f>IF($B26="","",F26)</f>
        <v/>
      </c>
      <c r="L26" s="12">
        <f>IF($B26="","",T26&amp;"/人"&amp;"x"&amp;TEXT(AC26,"# ?/?"))</f>
        <v/>
      </c>
      <c r="M26" s="12">
        <f>IF($B26="","",U26)</f>
        <v/>
      </c>
      <c r="N26" s="12">
        <f>IF($B26="","",V26/2&amp;"/人·天*"&amp;TRIM(TEXT(AC26,"# ?/?"))&amp;"*"&amp;X26&amp;"晚")</f>
        <v/>
      </c>
      <c r="O26" s="12">
        <f>IF($B26="","",Y26)</f>
        <v/>
      </c>
      <c r="P26" s="12">
        <f>IF($B26="","",Z26&amp;"/人·周*"&amp;CEILING(J26/7,1)&amp;"周"&amp;"x"&amp;TEXT(AC26,"# ?/?"))</f>
        <v/>
      </c>
      <c r="Q26" s="12">
        <f>IF($B26="","",AA26)</f>
        <v/>
      </c>
      <c r="R26" s="12">
        <f>IF($B26="","",AB26)</f>
        <v/>
      </c>
      <c r="S26" s="13">
        <f>IF($B26="","",IF(OR(ISNUMBER(SEARCH("就协",D26)),ISNUMBER(SEARCH("就业协会",D26))),"就协全部","院系"&amp;TEXT(1-AC26,"# ?/?")&amp;"，剩余就协"))</f>
        <v/>
      </c>
      <c r="T26" s="14" t="n"/>
      <c r="U26" s="12">
        <f>IF($B26="","",K26*T26*AC26)</f>
        <v/>
      </c>
      <c r="V26" s="12" t="n">
        <v>300</v>
      </c>
      <c r="W26" s="12">
        <f>IF($B26="","",CEILING(K26/2,1))</f>
        <v/>
      </c>
      <c r="X26" s="12">
        <f>IF($B26="","",IF(ISNUMBER(J26),J26-1,""))</f>
        <v/>
      </c>
      <c r="Y26" s="12">
        <f>IF($B26="","",V26*W26*X26*AC26)</f>
        <v/>
      </c>
      <c r="Z26" s="12" t="n">
        <v>30</v>
      </c>
      <c r="AA26" s="12">
        <f>IF($B26="","",Z26*K26*CEILING(J26/7,1)*AC26)</f>
        <v/>
      </c>
      <c r="AB26" s="12">
        <f>IF($B26="","",U26+Y26+AA26)</f>
        <v/>
      </c>
      <c r="AC26" s="12">
        <f>IF($B26="","",IF(OR(ISNUMBER(SEARCH("就协",D26)),ISNUMBER(SEARCH("就业协会",D26))),1,2/3))</f>
        <v/>
      </c>
      <c r="AD26" s="13" t="n"/>
    </row>
    <row r="28">
      <c r="Q28" s="15" t="inlineStr">
        <is>
          <t>过会金额</t>
        </is>
      </c>
    </row>
    <row r="29">
      <c r="Q29" s="15" t="inlineStr">
        <is>
          <t>预算合计</t>
        </is>
      </c>
      <c r="R29">
        <f>SUM(R7:R26)</f>
        <v/>
      </c>
    </row>
    <row r="30">
      <c r="Q30" s="15" t="inlineStr">
        <is>
          <t>差额</t>
        </is>
      </c>
      <c r="R30">
        <f>R28-R29</f>
        <v/>
      </c>
    </row>
  </sheetData>
  <mergeCells count="4">
    <mergeCell ref="T1:AC1"/>
    <mergeCell ref="I1:S1"/>
    <mergeCell ref="L3:P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2026-10-21T16:55:59Z</dcterms:created>
  <dcterms:modified xmlns:dcterms="http://purl.org/dc/terms/" xmlns:xsi="http://www.w3.org/2001/XMLSchema-instance" xsi:type="dcterms:W3CDTF">2026-10-21T16:55:59Z</dcterms:modified>
</cp:coreProperties>
</file>